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Giuseppe\Desktop\Prev4\public\"/>
    </mc:Choice>
  </mc:AlternateContent>
  <xr:revisionPtr revIDLastSave="0" documentId="8_{6F55BEF5-1440-4D9A-9C08-EECC8E9940CB}" xr6:coauthVersionLast="47" xr6:coauthVersionMax="47" xr10:uidLastSave="{00000000-0000-0000-0000-000000000000}"/>
  <bookViews>
    <workbookView xWindow="-103" yWindow="-103" windowWidth="22149" windowHeight="13200" xr2:uid="{B2A96C9E-8276-4E97-94E4-1B6676E8F9E3}"/>
  </bookViews>
  <sheets>
    <sheet name="Foglio1" sheetId="1" r:id="rId1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8" i="1" l="1"/>
  <c r="J18" i="1"/>
  <c r="E21" i="1"/>
  <c r="E22" i="1"/>
  <c r="E23" i="1"/>
  <c r="C20" i="1"/>
  <c r="E20" i="1" s="1"/>
  <c r="C19" i="1"/>
  <c r="E19" i="1" s="1"/>
  <c r="E25" i="1" l="1"/>
  <c r="E27" i="1" s="1"/>
  <c r="J15" i="1"/>
  <c r="J14" i="1"/>
  <c r="J13" i="1"/>
  <c r="J12" i="1"/>
  <c r="N42" i="1"/>
  <c r="P43" i="1"/>
  <c r="P24" i="1"/>
  <c r="P23" i="1"/>
  <c r="P42" i="1" s="1"/>
  <c r="P22" i="1"/>
  <c r="P41" i="1" s="1"/>
  <c r="P21" i="1"/>
  <c r="P40" i="1" s="1"/>
  <c r="P20" i="1"/>
  <c r="P39" i="1" s="1"/>
  <c r="N40" i="1"/>
  <c r="N22" i="1"/>
  <c r="N41" i="1"/>
  <c r="N43" i="1"/>
  <c r="M40" i="1"/>
  <c r="M41" i="1"/>
  <c r="M42" i="1"/>
  <c r="M43" i="1"/>
  <c r="M39" i="1"/>
  <c r="L40" i="1"/>
  <c r="L41" i="1"/>
  <c r="L42" i="1"/>
  <c r="L43" i="1"/>
  <c r="L39" i="1"/>
  <c r="K40" i="1"/>
  <c r="K41" i="1"/>
  <c r="K42" i="1"/>
  <c r="K43" i="1"/>
  <c r="J40" i="1"/>
  <c r="J41" i="1"/>
  <c r="J42" i="1"/>
  <c r="J43" i="1"/>
  <c r="K39" i="1"/>
  <c r="J39" i="1"/>
  <c r="N24" i="1"/>
  <c r="M21" i="1"/>
  <c r="M22" i="1"/>
  <c r="M23" i="1"/>
  <c r="M24" i="1"/>
  <c r="L21" i="1"/>
  <c r="L22" i="1"/>
  <c r="L23" i="1"/>
  <c r="L24" i="1"/>
  <c r="K21" i="1"/>
  <c r="K22" i="1"/>
  <c r="K23" i="1"/>
  <c r="K24" i="1"/>
  <c r="J21" i="1"/>
  <c r="J22" i="1"/>
  <c r="J23" i="1"/>
  <c r="J24" i="1"/>
  <c r="M20" i="1"/>
  <c r="L20" i="1"/>
  <c r="K20" i="1"/>
  <c r="J20" i="1"/>
  <c r="L17" i="1"/>
  <c r="H34" i="1"/>
  <c r="C16" i="1"/>
  <c r="H44" i="1" s="1"/>
  <c r="N23" i="1" l="1"/>
  <c r="N21" i="1"/>
  <c r="N39" i="1"/>
  <c r="N20" i="1"/>
  <c r="N44" i="1" l="1"/>
  <c r="N25" i="1"/>
  <c r="N46" i="1"/>
  <c r="E29" i="1" l="1"/>
  <c r="N28" i="1" s="1"/>
  <c r="N27" i="1"/>
  <c r="N47" i="1" l="1"/>
</calcChain>
</file>

<file path=xl/sharedStrings.xml><?xml version="1.0" encoding="utf-8"?>
<sst xmlns="http://schemas.openxmlformats.org/spreadsheetml/2006/main" count="69" uniqueCount="44">
  <si>
    <t>Villaggio La Roccia Camping - Di Green A. &amp; Gibilisco T.</t>
  </si>
  <si>
    <t>Via madonna 84, 92031  Lampedusa (AG)</t>
  </si>
  <si>
    <t xml:space="preserve">P.iva 01351420847 </t>
  </si>
  <si>
    <t>0922970055 | info@laroccia.net</t>
  </si>
  <si>
    <t xml:space="preserve">Lampedusa </t>
  </si>
  <si>
    <t>CONFERMA SOGGIORNO</t>
  </si>
  <si>
    <t>FORMULA</t>
  </si>
  <si>
    <t>TOT.</t>
  </si>
  <si>
    <t>PERIODO</t>
  </si>
  <si>
    <t>PREZZO</t>
  </si>
  <si>
    <t>MEZZA PENSIONE</t>
  </si>
  <si>
    <t>TOTALE OFFERTA</t>
  </si>
  <si>
    <t>TOTALE CAPARRA</t>
  </si>
  <si>
    <t>SALDO IN LOCO</t>
  </si>
  <si>
    <t>Entro 2 giorni dall'arrivo</t>
  </si>
  <si>
    <t>Per effettuare il pagamento della caparra del 30%</t>
  </si>
  <si>
    <t>CAUSALE: PRENOTAZIONE SOGGIORNO</t>
  </si>
  <si>
    <t>Tramite bonifico indirizzato a</t>
  </si>
  <si>
    <t>CAMPING LA ROCCIA</t>
  </si>
  <si>
    <t>BANCA AGRICOLA POPOLARE DI SICILIA  - AG. Di Lampedusa</t>
  </si>
  <si>
    <t>IBAN: IT58R0503682960CC4100005781</t>
  </si>
  <si>
    <t>SWIFT: POPRIT3RXXX</t>
  </si>
  <si>
    <t>Una volta effettuato il versamento, Vi preghiamo di inviare copia della ricevuta a</t>
  </si>
  <si>
    <t>info@laroccia.net</t>
  </si>
  <si>
    <t>I PAGAMENTI DEVONO ESSERE EFFETTUATI ENTRO:</t>
  </si>
  <si>
    <t>La preghiamo anche di comunicarci: Aeroporto di partenza ed orario di arrivo a Lampedusa</t>
  </si>
  <si>
    <t>Alla C.A del. Sig</t>
  </si>
  <si>
    <t>CAPOGRUPPO</t>
  </si>
  <si>
    <t>ALLE</t>
  </si>
  <si>
    <t>INVIATA IL:</t>
  </si>
  <si>
    <t>Esigenze particolari</t>
  </si>
  <si>
    <t>ARRIVO</t>
  </si>
  <si>
    <t>DA</t>
  </si>
  <si>
    <t>PER</t>
  </si>
  <si>
    <t>PAX/GG</t>
  </si>
  <si>
    <t>TRANSFER</t>
  </si>
  <si>
    <t>FORFAIT SERVIZI</t>
  </si>
  <si>
    <t>POSTI LETTO</t>
  </si>
  <si>
    <t>ANGELOTTI</t>
  </si>
  <si>
    <t>LEONARDO</t>
  </si>
  <si>
    <t>335 435010</t>
  </si>
  <si>
    <t>angelottileonardo135@gmail.com</t>
  </si>
  <si>
    <t>SOGGIORNO</t>
  </si>
  <si>
    <t xml:space="preserve">N.1 MONOLOCALE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</si>
</sst>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#,##0.00\ _€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6"/>
      <color theme="1"/>
      <name val="Bahnschrift"/>
      <family val="2"/>
    </font>
    <font>
      <sz val="11"/>
      <color theme="1"/>
      <name val="Bahnschrift"/>
      <family val="2"/>
    </font>
    <font>
      <u/>
      <sz val="11"/>
      <color theme="10"/>
      <name val="Aptos Narrow"/>
      <family val="2"/>
      <scheme val="minor"/>
    </font>
    <font>
      <sz val="14"/>
      <color theme="1"/>
      <name val="Aptos Display"/>
      <family val="2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7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center"/>
    </xf>
    <xf numFmtId="0" fontId="0" fillId="0" borderId="3" xfId="0" applyBorder="1"/>
    <xf numFmtId="0" fontId="0" fillId="0" borderId="2" xfId="0" applyBorder="1"/>
    <xf numFmtId="0" fontId="1" fillId="0" borderId="0" xfId="0" applyFont="1"/>
    <xf numFmtId="0" fontId="0" fillId="0" borderId="1" xfId="0" applyBorder="1"/>
    <xf numFmtId="0" fontId="3" fillId="0" borderId="0" xfId="0" applyFont="1" applyAlignment="1">
      <alignment vertical="top"/>
    </xf>
    <xf numFmtId="16" fontId="0" fillId="0" borderId="1" xfId="0" applyNumberFormat="1" applyBorder="1"/>
    <xf numFmtId="164" fontId="0" fillId="0" borderId="0" xfId="0" applyNumberFormat="1" applyAlignment="1">
      <alignment horizontal="right"/>
    </xf>
    <xf numFmtId="164" fontId="0" fillId="0" borderId="0" xfId="0" applyNumberFormat="1"/>
    <xf numFmtId="164" fontId="0" fillId="0" borderId="1" xfId="0" applyNumberFormat="1" applyBorder="1"/>
    <xf numFmtId="0" fontId="4" fillId="0" borderId="0" xfId="0" applyFont="1"/>
    <xf numFmtId="0" fontId="5" fillId="0" borderId="0" xfId="0" applyFont="1"/>
    <xf numFmtId="0" fontId="6" fillId="0" borderId="0" xfId="1"/>
    <xf numFmtId="0" fontId="7" fillId="0" borderId="0" xfId="0" applyFont="1"/>
    <xf numFmtId="0" fontId="1" fillId="0" borderId="2" xfId="0" applyFont="1" applyBorder="1"/>
    <xf numFmtId="0" fontId="2" fillId="0" borderId="0" xfId="0" applyFont="1"/>
    <xf numFmtId="0" fontId="9" fillId="0" borderId="0" xfId="0" applyFont="1" applyAlignment="1">
      <alignment horizontal="left" vertic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5" xfId="0" applyBorder="1"/>
    <xf numFmtId="0" fontId="0" fillId="0" borderId="6" xfId="0" applyBorder="1"/>
    <xf numFmtId="0" fontId="1" fillId="0" borderId="1" xfId="0" applyFont="1" applyBorder="1"/>
    <xf numFmtId="0" fontId="0" fillId="0" borderId="0" xfId="0" applyAlignment="1">
      <alignment horizontal="right"/>
    </xf>
    <xf numFmtId="0" fontId="11" fillId="0" borderId="5" xfId="0" applyFont="1" applyBorder="1"/>
    <xf numFmtId="0" fontId="11" fillId="0" borderId="3" xfId="0" applyFont="1" applyBorder="1"/>
    <xf numFmtId="0" fontId="11" fillId="0" borderId="5" xfId="0" applyFont="1" applyBorder="1" applyAlignment="1">
      <alignment horizontal="left"/>
    </xf>
    <xf numFmtId="165" fontId="0" fillId="0" borderId="1" xfId="0" applyNumberFormat="1" applyBorder="1" applyAlignment="1">
      <alignment horizontal="right"/>
    </xf>
    <xf numFmtId="0" fontId="12" fillId="0" borderId="5" xfId="0" applyFont="1" applyBorder="1"/>
    <xf numFmtId="0" fontId="12" fillId="0" borderId="3" xfId="0" applyFont="1" applyBorder="1"/>
    <xf numFmtId="3" fontId="0" fillId="0" borderId="0" xfId="0" applyNumberFormat="1"/>
    <xf numFmtId="0" fontId="13" fillId="0" borderId="0" xfId="1" applyFont="1" applyAlignment="1">
      <alignment horizontal="left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64" fontId="0" fillId="0" borderId="1" xfId="0" applyNumberFormat="1" applyBorder="1" applyAlignment="1">
      <alignment horizontal="right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4" fontId="0" fillId="0" borderId="3" xfId="0" applyNumberFormat="1" applyBorder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0" fillId="0" borderId="7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468814</xdr:colOff>
      <xdr:row>0</xdr:row>
      <xdr:rowOff>0</xdr:rowOff>
    </xdr:from>
    <xdr:to>
      <xdr:col>5</xdr:col>
      <xdr:colOff>248817</xdr:colOff>
      <xdr:row>4</xdr:row>
      <xdr:rowOff>73686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FC252092-0975-C616-7BF1-3AB8DB259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1570" y="0"/>
          <a:ext cx="1101838" cy="820135"/>
        </a:xfrm>
        <a:prstGeom prst="rect">
          <a:avLst/>
        </a:prstGeom>
      </xdr:spPr>
    </xdr:pic>
    <xdr:clientData/>
  </xdr:twoCellAnchor>
  <xdr:twoCellAnchor editAs="oneCell">
    <xdr:from>
      <xdr:col>12</xdr:col>
      <xdr:colOff>473481</xdr:colOff>
      <xdr:row>0</xdr:row>
      <xdr:rowOff>27991</xdr:rowOff>
    </xdr:from>
    <xdr:to>
      <xdr:col>14</xdr:col>
      <xdr:colOff>253483</xdr:colOff>
      <xdr:row>4</xdr:row>
      <xdr:rowOff>101677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89BB9D8C-9401-4907-86AB-D8D4DF003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032" y="27991"/>
          <a:ext cx="1101838" cy="8201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8CE61-C4EE-489C-9AE2-B151D9609F01}">
  <sheetPr codeName="Foglio1"/>
  <dimension ref="A1:R47"/>
  <sheetViews>
    <sheetView tabSelected="1" view="pageLayout" zoomScale="70" zoomScaleNormal="100" zoomScalePageLayoutView="70" workbookViewId="0">
      <selection activeCell="O15" sqref="O15:P15"/>
    </sheetView>
  </sheetViews>
  <sheetFormatPr defaultRowHeight="14.6" x14ac:dyDescent="0.4"/>
  <cols>
    <col min="8" max="8" width="10.3828125" bestFit="1" customWidth="1"/>
  </cols>
  <sheetData>
    <row r="1" spans="1:18" x14ac:dyDescent="0.4">
      <c r="Q1" s="32"/>
      <c r="R1" s="32"/>
    </row>
    <row r="2" spans="1:18" x14ac:dyDescent="0.4">
      <c r="Q2" s="32"/>
      <c r="R2" s="32"/>
    </row>
    <row r="5" spans="1:18" ht="9.75" customHeight="1" x14ac:dyDescent="0.4"/>
    <row r="6" spans="1:18" ht="10.5" customHeight="1" x14ac:dyDescent="0.4">
      <c r="A6" s="48" t="s">
        <v>0</v>
      </c>
      <c r="B6" s="48"/>
      <c r="C6" s="48"/>
      <c r="D6" s="48"/>
      <c r="E6" s="48"/>
      <c r="F6" s="48"/>
      <c r="G6" s="48"/>
      <c r="H6" s="48"/>
      <c r="I6" s="48"/>
      <c r="J6" s="48" t="s">
        <v>0</v>
      </c>
      <c r="K6" s="48"/>
      <c r="L6" s="48"/>
      <c r="M6" s="48"/>
      <c r="N6" s="48"/>
      <c r="O6" s="48"/>
      <c r="P6" s="48"/>
      <c r="Q6" s="48"/>
      <c r="R6" s="48"/>
    </row>
    <row r="7" spans="1:18" ht="10.5" customHeight="1" x14ac:dyDescent="0.4">
      <c r="A7" s="48" t="s">
        <v>1</v>
      </c>
      <c r="B7" s="48"/>
      <c r="C7" s="48"/>
      <c r="D7" s="48"/>
      <c r="E7" s="48"/>
      <c r="F7" s="48"/>
      <c r="G7" s="48"/>
      <c r="H7" s="48"/>
      <c r="I7" s="48"/>
      <c r="J7" s="48" t="s">
        <v>1</v>
      </c>
      <c r="K7" s="48"/>
      <c r="L7" s="48"/>
      <c r="M7" s="48"/>
      <c r="N7" s="48"/>
      <c r="O7" s="48"/>
      <c r="P7" s="48"/>
      <c r="Q7" s="48"/>
      <c r="R7" s="48"/>
    </row>
    <row r="8" spans="1:18" ht="10.5" customHeight="1" x14ac:dyDescent="0.4">
      <c r="A8" s="48" t="s">
        <v>2</v>
      </c>
      <c r="B8" s="48"/>
      <c r="C8" s="48"/>
      <c r="D8" s="48"/>
      <c r="E8" s="48"/>
      <c r="F8" s="48"/>
      <c r="G8" s="48"/>
      <c r="H8" s="48"/>
      <c r="I8" s="48"/>
      <c r="J8" s="48" t="s">
        <v>2</v>
      </c>
      <c r="K8" s="48"/>
      <c r="L8" s="48"/>
      <c r="M8" s="48"/>
      <c r="N8" s="48"/>
      <c r="O8" s="48"/>
      <c r="P8" s="48"/>
      <c r="Q8" s="48"/>
      <c r="R8" s="48"/>
    </row>
    <row r="9" spans="1:18" ht="10.5" customHeight="1" x14ac:dyDescent="0.4">
      <c r="A9" s="48" t="s">
        <v>3</v>
      </c>
      <c r="B9" s="48"/>
      <c r="C9" s="48"/>
      <c r="D9" s="48"/>
      <c r="E9" s="48"/>
      <c r="F9" s="48"/>
      <c r="G9" s="48"/>
      <c r="H9" s="48"/>
      <c r="I9" s="48"/>
      <c r="J9" s="48" t="s">
        <v>3</v>
      </c>
      <c r="K9" s="48"/>
      <c r="L9" s="48"/>
      <c r="M9" s="48"/>
      <c r="N9" s="48"/>
      <c r="O9" s="48"/>
      <c r="P9" s="48"/>
      <c r="Q9" s="48"/>
      <c r="R9" s="48"/>
    </row>
    <row r="10" spans="1:18" ht="13.5" customHeight="1" x14ac:dyDescent="0.4">
      <c r="A10" s="1"/>
      <c r="B10" s="1"/>
      <c r="C10" s="1"/>
      <c r="D10" s="1"/>
      <c r="E10" s="1"/>
      <c r="F10" s="1"/>
      <c r="H10" s="16" t="s">
        <v>26</v>
      </c>
      <c r="I10" s="16"/>
    </row>
    <row r="11" spans="1:18" ht="16.5" customHeight="1" x14ac:dyDescent="0.4">
      <c r="A11" s="1"/>
      <c r="B11" s="1"/>
      <c r="C11" s="1"/>
      <c r="D11" s="1"/>
      <c r="E11" s="1"/>
      <c r="F11" s="1"/>
      <c r="H11" s="17" t="s">
        <v>38</v>
      </c>
      <c r="I11" s="16"/>
      <c r="J11" t="s">
        <v>27</v>
      </c>
      <c r="M11" s="32" t="s">
        <v>31</v>
      </c>
      <c r="N11" s="32"/>
      <c r="O11" s="32"/>
      <c r="P11" s="32"/>
      <c r="Q11" s="32"/>
      <c r="R11" s="32"/>
    </row>
    <row r="12" spans="1:18" ht="16.5" customHeight="1" x14ac:dyDescent="0.4">
      <c r="A12" s="1"/>
      <c r="B12" s="1"/>
      <c r="C12" s="1"/>
      <c r="D12" s="1"/>
      <c r="E12" s="1"/>
      <c r="F12" s="1"/>
      <c r="H12" s="17" t="s">
        <v>39</v>
      </c>
      <c r="J12" s="28" t="str">
        <f>H11</f>
        <v>ANGELOTTI</v>
      </c>
      <c r="K12" s="20"/>
      <c r="L12" s="23"/>
      <c r="M12" s="26" t="s">
        <v>32</v>
      </c>
      <c r="N12" s="20"/>
      <c r="O12" s="47"/>
      <c r="P12" s="47"/>
      <c r="Q12" s="32"/>
      <c r="R12" s="32"/>
    </row>
    <row r="13" spans="1:18" ht="13.5" customHeight="1" x14ac:dyDescent="0.4">
      <c r="A13" s="1"/>
      <c r="B13" s="1"/>
      <c r="C13" s="1"/>
      <c r="D13" s="1"/>
      <c r="E13" s="1"/>
      <c r="F13" s="1"/>
      <c r="G13" s="1"/>
      <c r="H13" s="30" t="s">
        <v>40</v>
      </c>
      <c r="I13" s="1"/>
      <c r="J13" s="29" t="str">
        <f>H12</f>
        <v>LEONARDO</v>
      </c>
      <c r="K13" s="2"/>
      <c r="L13" s="23"/>
      <c r="M13" s="26" t="s">
        <v>28</v>
      </c>
      <c r="N13" s="20"/>
      <c r="O13" s="47"/>
      <c r="P13" s="47"/>
      <c r="Q13" s="32"/>
      <c r="R13" s="32"/>
    </row>
    <row r="14" spans="1:18" ht="13.5" customHeight="1" x14ac:dyDescent="0.4">
      <c r="H14" s="31" t="s">
        <v>41</v>
      </c>
      <c r="J14" s="25" t="str">
        <f>H13</f>
        <v>335 435010</v>
      </c>
      <c r="K14" s="2"/>
      <c r="L14" s="23"/>
      <c r="M14" s="26" t="s">
        <v>33</v>
      </c>
      <c r="N14" s="20"/>
      <c r="O14" s="47"/>
      <c r="P14" s="47"/>
      <c r="Q14" s="32"/>
      <c r="R14" s="32"/>
    </row>
    <row r="15" spans="1:18" ht="13.5" customHeight="1" x14ac:dyDescent="0.4">
      <c r="H15" s="13"/>
      <c r="J15" s="24" t="str">
        <f>H14</f>
        <v>angelottileonardo135@gmail.com</v>
      </c>
      <c r="K15" s="20"/>
      <c r="L15" s="23"/>
      <c r="M15" s="26" t="s">
        <v>28</v>
      </c>
      <c r="N15" s="20"/>
      <c r="O15" s="47"/>
      <c r="P15" s="47"/>
      <c r="Q15" s="32"/>
      <c r="R15" s="32"/>
    </row>
    <row r="16" spans="1:18" x14ac:dyDescent="0.4">
      <c r="A16" s="3" t="s">
        <v>4</v>
      </c>
      <c r="B16" s="2"/>
      <c r="C16" s="43">
        <f ca="1">TODAY()</f>
        <v>46089</v>
      </c>
      <c r="D16" s="39"/>
      <c r="E16" s="44" t="s">
        <v>5</v>
      </c>
      <c r="F16" s="44"/>
      <c r="G16" s="44"/>
      <c r="H16" s="44"/>
      <c r="I16" s="45"/>
    </row>
    <row r="17" spans="1:18" x14ac:dyDescent="0.4">
      <c r="A17" t="s">
        <v>43</v>
      </c>
      <c r="B17" s="4"/>
      <c r="F17" s="46" t="s">
        <v>37</v>
      </c>
      <c r="G17" s="46"/>
      <c r="H17">
        <v>2</v>
      </c>
      <c r="J17" s="3" t="s">
        <v>4</v>
      </c>
      <c r="K17" s="2"/>
      <c r="L17" s="43">
        <f ca="1">TODAY()</f>
        <v>46089</v>
      </c>
      <c r="M17" s="39"/>
      <c r="N17" s="44" t="s">
        <v>5</v>
      </c>
      <c r="O17" s="44"/>
      <c r="P17" s="44"/>
      <c r="Q17" s="44"/>
      <c r="R17" s="45"/>
    </row>
    <row r="18" spans="1:18" x14ac:dyDescent="0.4">
      <c r="A18" s="33" t="s">
        <v>8</v>
      </c>
      <c r="B18" s="33"/>
      <c r="C18" s="22" t="s">
        <v>34</v>
      </c>
      <c r="D18" s="22" t="s">
        <v>9</v>
      </c>
      <c r="E18" s="33" t="s">
        <v>7</v>
      </c>
      <c r="F18" s="33"/>
      <c r="G18" s="33" t="s">
        <v>6</v>
      </c>
      <c r="H18" s="33"/>
      <c r="I18" s="33"/>
      <c r="J18" t="str">
        <f>A17</f>
        <v xml:space="preserve">N.1 MONOLOCALE </v>
      </c>
      <c r="K18" s="4"/>
      <c r="O18" s="46" t="s">
        <v>37</v>
      </c>
      <c r="P18" s="46"/>
      <c r="Q18">
        <f>H17</f>
        <v>2</v>
      </c>
    </row>
    <row r="19" spans="1:18" x14ac:dyDescent="0.4">
      <c r="A19" s="7">
        <v>46204</v>
      </c>
      <c r="B19" s="7">
        <v>46208</v>
      </c>
      <c r="C19" s="5">
        <f>B19-A19</f>
        <v>4</v>
      </c>
      <c r="D19" s="27">
        <v>100</v>
      </c>
      <c r="E19" s="34">
        <f>D19*C19</f>
        <v>400</v>
      </c>
      <c r="F19" s="34"/>
      <c r="G19" s="35" t="s">
        <v>42</v>
      </c>
      <c r="H19" s="36"/>
      <c r="I19" s="37"/>
      <c r="J19" s="33" t="s">
        <v>8</v>
      </c>
      <c r="K19" s="33"/>
      <c r="L19" s="22" t="s">
        <v>34</v>
      </c>
      <c r="M19" s="22" t="s">
        <v>9</v>
      </c>
      <c r="N19" s="33" t="s">
        <v>7</v>
      </c>
      <c r="O19" s="33"/>
      <c r="P19" s="33" t="s">
        <v>6</v>
      </c>
      <c r="Q19" s="33"/>
      <c r="R19" s="33"/>
    </row>
    <row r="20" spans="1:18" x14ac:dyDescent="0.4">
      <c r="A20" s="7"/>
      <c r="B20" s="7"/>
      <c r="C20" s="5">
        <f t="shared" ref="C20" si="0">B20-A20</f>
        <v>0</v>
      </c>
      <c r="D20" s="27">
        <v>0</v>
      </c>
      <c r="E20" s="34">
        <f t="shared" ref="E20:E23" si="1">D20*C20</f>
        <v>0</v>
      </c>
      <c r="F20" s="34"/>
      <c r="G20" s="35" t="s">
        <v>42</v>
      </c>
      <c r="H20" s="36"/>
      <c r="I20" s="37"/>
      <c r="J20" s="7">
        <f>A19</f>
        <v>46204</v>
      </c>
      <c r="K20" s="7">
        <f>B19</f>
        <v>46208</v>
      </c>
      <c r="L20" s="5">
        <f>C19</f>
        <v>4</v>
      </c>
      <c r="M20" s="10">
        <f>D19</f>
        <v>100</v>
      </c>
      <c r="N20" s="34">
        <f>E19</f>
        <v>400</v>
      </c>
      <c r="O20" s="34"/>
      <c r="P20" s="35" t="str">
        <f>G19</f>
        <v>SOGGIORNO</v>
      </c>
      <c r="Q20" s="36"/>
      <c r="R20" s="37"/>
    </row>
    <row r="21" spans="1:18" x14ac:dyDescent="0.4">
      <c r="A21" s="7"/>
      <c r="B21" s="7"/>
      <c r="C21" s="5">
        <v>2</v>
      </c>
      <c r="D21" s="27">
        <v>10</v>
      </c>
      <c r="E21" s="34">
        <f t="shared" si="1"/>
        <v>20</v>
      </c>
      <c r="F21" s="34"/>
      <c r="G21" s="35" t="s">
        <v>35</v>
      </c>
      <c r="H21" s="36"/>
      <c r="I21" s="37"/>
      <c r="J21" s="7">
        <f t="shared" ref="J21:J24" si="2">A20</f>
        <v>0</v>
      </c>
      <c r="K21" s="7">
        <f t="shared" ref="K21:K24" si="3">B20</f>
        <v>0</v>
      </c>
      <c r="L21" s="5">
        <f t="shared" ref="L21:L24" si="4">C20</f>
        <v>0</v>
      </c>
      <c r="M21" s="10">
        <f t="shared" ref="M21:M24" si="5">D20</f>
        <v>0</v>
      </c>
      <c r="N21" s="34">
        <f t="shared" ref="N21:N24" si="6">E20</f>
        <v>0</v>
      </c>
      <c r="O21" s="34"/>
      <c r="P21" s="35" t="str">
        <f>G20</f>
        <v>SOGGIORNO</v>
      </c>
      <c r="Q21" s="36"/>
      <c r="R21" s="37"/>
    </row>
    <row r="22" spans="1:18" x14ac:dyDescent="0.4">
      <c r="A22" s="5"/>
      <c r="B22" s="5"/>
      <c r="C22" s="5">
        <v>1</v>
      </c>
      <c r="D22" s="27">
        <v>15</v>
      </c>
      <c r="E22" s="34">
        <f t="shared" si="1"/>
        <v>15</v>
      </c>
      <c r="F22" s="34"/>
      <c r="G22" s="35" t="s">
        <v>36</v>
      </c>
      <c r="H22" s="36"/>
      <c r="I22" s="37"/>
      <c r="J22" s="7">
        <f t="shared" si="2"/>
        <v>0</v>
      </c>
      <c r="K22" s="7">
        <f t="shared" si="3"/>
        <v>0</v>
      </c>
      <c r="L22" s="5">
        <f t="shared" si="4"/>
        <v>2</v>
      </c>
      <c r="M22" s="10">
        <f t="shared" si="5"/>
        <v>10</v>
      </c>
      <c r="N22" s="34">
        <f t="shared" si="6"/>
        <v>20</v>
      </c>
      <c r="O22" s="34"/>
      <c r="P22" s="35" t="str">
        <f>G21</f>
        <v>TRANSFER</v>
      </c>
      <c r="Q22" s="36"/>
      <c r="R22" s="37"/>
    </row>
    <row r="23" spans="1:18" x14ac:dyDescent="0.4">
      <c r="A23" s="5"/>
      <c r="B23" s="5"/>
      <c r="C23" s="5">
        <v>1</v>
      </c>
      <c r="D23" s="27">
        <v>35</v>
      </c>
      <c r="E23" s="34">
        <f t="shared" si="1"/>
        <v>35</v>
      </c>
      <c r="F23" s="34"/>
      <c r="G23" s="35" t="s">
        <v>10</v>
      </c>
      <c r="H23" s="36"/>
      <c r="I23" s="37"/>
      <c r="J23" s="7">
        <f t="shared" si="2"/>
        <v>0</v>
      </c>
      <c r="K23" s="7">
        <f t="shared" si="3"/>
        <v>0</v>
      </c>
      <c r="L23" s="5">
        <f t="shared" si="4"/>
        <v>1</v>
      </c>
      <c r="M23" s="10">
        <f t="shared" si="5"/>
        <v>15</v>
      </c>
      <c r="N23" s="34">
        <f t="shared" si="6"/>
        <v>15</v>
      </c>
      <c r="O23" s="34"/>
      <c r="P23" s="35" t="str">
        <f>G22</f>
        <v>FORFAIT SERVIZI</v>
      </c>
      <c r="Q23" s="36"/>
      <c r="R23" s="37"/>
    </row>
    <row r="24" spans="1:18" x14ac:dyDescent="0.4">
      <c r="C24" s="9"/>
      <c r="E24" s="42"/>
      <c r="F24" s="42"/>
      <c r="J24" s="7">
        <f t="shared" si="2"/>
        <v>0</v>
      </c>
      <c r="K24" s="7">
        <f t="shared" si="3"/>
        <v>0</v>
      </c>
      <c r="L24" s="5">
        <f t="shared" si="4"/>
        <v>1</v>
      </c>
      <c r="M24" s="10">
        <f t="shared" si="5"/>
        <v>35</v>
      </c>
      <c r="N24" s="34">
        <f t="shared" si="6"/>
        <v>35</v>
      </c>
      <c r="O24" s="34"/>
      <c r="P24" s="35" t="str">
        <f>G23</f>
        <v>MEZZA PENSIONE</v>
      </c>
      <c r="Q24" s="36"/>
      <c r="R24" s="37"/>
    </row>
    <row r="25" spans="1:18" x14ac:dyDescent="0.4">
      <c r="A25" s="18" t="s">
        <v>11</v>
      </c>
      <c r="B25" s="19"/>
      <c r="C25" s="19"/>
      <c r="D25" s="19"/>
      <c r="E25" s="40">
        <f>SUM(E19:F23)</f>
        <v>470</v>
      </c>
      <c r="F25" s="41"/>
      <c r="J25" s="38" t="s">
        <v>11</v>
      </c>
      <c r="K25" s="39"/>
      <c r="L25" s="39"/>
      <c r="M25" s="39"/>
      <c r="N25" s="34">
        <f>E25</f>
        <v>470</v>
      </c>
      <c r="O25" s="34"/>
    </row>
    <row r="26" spans="1:18" x14ac:dyDescent="0.4">
      <c r="E26" s="8"/>
      <c r="F26" s="8"/>
      <c r="N26" s="8"/>
      <c r="O26" s="8"/>
    </row>
    <row r="27" spans="1:18" x14ac:dyDescent="0.4">
      <c r="A27" s="18" t="s">
        <v>12</v>
      </c>
      <c r="B27" s="19"/>
      <c r="C27" s="19"/>
      <c r="D27" s="19"/>
      <c r="E27" s="40">
        <f>(E25*30)/100</f>
        <v>141</v>
      </c>
      <c r="F27" s="41"/>
      <c r="J27" s="38" t="s">
        <v>12</v>
      </c>
      <c r="K27" s="39"/>
      <c r="L27" s="39"/>
      <c r="M27" s="39"/>
      <c r="N27" s="40">
        <f>E27</f>
        <v>141</v>
      </c>
      <c r="O27" s="41"/>
      <c r="P27" t="s">
        <v>29</v>
      </c>
      <c r="Q27" s="20"/>
      <c r="R27" s="20"/>
    </row>
    <row r="28" spans="1:18" x14ac:dyDescent="0.4">
      <c r="E28" s="8"/>
      <c r="F28" s="8"/>
      <c r="J28" t="s">
        <v>13</v>
      </c>
      <c r="N28" s="42">
        <f>E29</f>
        <v>329</v>
      </c>
      <c r="O28" s="42"/>
    </row>
    <row r="29" spans="1:18" x14ac:dyDescent="0.4">
      <c r="A29" t="s">
        <v>13</v>
      </c>
      <c r="E29" s="42">
        <f>E25-E27</f>
        <v>329</v>
      </c>
      <c r="F29" s="42"/>
    </row>
    <row r="30" spans="1:18" x14ac:dyDescent="0.4">
      <c r="A30" s="6" t="s">
        <v>14</v>
      </c>
      <c r="B30" s="6"/>
      <c r="J30" t="s">
        <v>30</v>
      </c>
      <c r="L30" s="56"/>
      <c r="M30" s="56"/>
      <c r="N30" s="56"/>
      <c r="O30" s="56"/>
      <c r="P30" s="56"/>
      <c r="Q30" s="56"/>
      <c r="R30" s="56"/>
    </row>
    <row r="31" spans="1:18" x14ac:dyDescent="0.4">
      <c r="J31" s="57"/>
      <c r="K31" s="57"/>
      <c r="L31" s="57"/>
      <c r="M31" s="57"/>
      <c r="N31" s="57"/>
      <c r="O31" s="57"/>
      <c r="P31" s="57"/>
      <c r="Q31" s="57"/>
      <c r="R31" s="57"/>
    </row>
    <row r="32" spans="1:18" x14ac:dyDescent="0.4">
      <c r="J32" s="56"/>
      <c r="K32" s="56"/>
      <c r="L32" s="56"/>
      <c r="M32" s="56"/>
      <c r="N32" s="56"/>
      <c r="O32" s="56"/>
      <c r="P32" s="56"/>
      <c r="Q32" s="56"/>
      <c r="R32" s="56"/>
    </row>
    <row r="33" spans="1:18" x14ac:dyDescent="0.4">
      <c r="A33" t="s">
        <v>15</v>
      </c>
      <c r="J33" s="57"/>
      <c r="K33" s="57"/>
      <c r="L33" s="57"/>
      <c r="M33" s="57"/>
      <c r="N33" s="57"/>
      <c r="O33" s="57"/>
      <c r="P33" s="57"/>
      <c r="Q33" s="57"/>
      <c r="R33" s="57"/>
    </row>
    <row r="34" spans="1:18" ht="15.9" x14ac:dyDescent="0.45">
      <c r="A34" s="49" t="s">
        <v>16</v>
      </c>
      <c r="B34" s="50"/>
      <c r="C34" s="50"/>
      <c r="D34" s="50"/>
      <c r="E34" s="50"/>
      <c r="F34" s="50"/>
      <c r="G34" s="50"/>
      <c r="H34" s="54" t="str">
        <f>H11</f>
        <v>ANGELOTTI</v>
      </c>
      <c r="I34" s="54"/>
      <c r="J34" s="55"/>
      <c r="K34" s="55"/>
      <c r="L34" s="55"/>
      <c r="M34" s="55"/>
      <c r="N34" s="55"/>
      <c r="O34" s="55"/>
      <c r="P34" s="55"/>
      <c r="Q34" s="55"/>
      <c r="R34" s="55"/>
    </row>
    <row r="35" spans="1:18" x14ac:dyDescent="0.4">
      <c r="A35" t="s">
        <v>17</v>
      </c>
      <c r="J35" s="55"/>
      <c r="K35" s="55"/>
      <c r="L35" s="55"/>
      <c r="M35" s="55"/>
      <c r="N35" s="55"/>
      <c r="O35" s="55"/>
      <c r="P35" s="55"/>
      <c r="Q35" s="55"/>
      <c r="R35" s="55"/>
    </row>
    <row r="36" spans="1:18" ht="20.149999999999999" thickBot="1" x14ac:dyDescent="0.5">
      <c r="A36" s="11" t="s">
        <v>18</v>
      </c>
      <c r="B36" s="12"/>
      <c r="C36" s="12"/>
    </row>
    <row r="37" spans="1:18" ht="19.75" x14ac:dyDescent="0.45">
      <c r="A37" s="11" t="s">
        <v>19</v>
      </c>
      <c r="B37" s="12"/>
      <c r="C37" s="12"/>
      <c r="J37" s="21"/>
      <c r="K37" s="21"/>
      <c r="L37" s="21"/>
      <c r="M37" s="21"/>
      <c r="N37" s="21"/>
      <c r="O37" s="21"/>
      <c r="P37" s="21"/>
      <c r="Q37" s="21"/>
      <c r="R37" s="21"/>
    </row>
    <row r="38" spans="1:18" ht="19.75" x14ac:dyDescent="0.45">
      <c r="A38" s="11" t="s">
        <v>20</v>
      </c>
      <c r="B38" s="12"/>
      <c r="C38" s="12"/>
      <c r="J38" s="33" t="s">
        <v>8</v>
      </c>
      <c r="K38" s="33"/>
      <c r="L38" s="22" t="s">
        <v>34</v>
      </c>
      <c r="M38" s="22" t="s">
        <v>9</v>
      </c>
      <c r="N38" s="33" t="s">
        <v>7</v>
      </c>
      <c r="O38" s="33"/>
      <c r="P38" s="33" t="s">
        <v>6</v>
      </c>
      <c r="Q38" s="33"/>
      <c r="R38" s="33"/>
    </row>
    <row r="39" spans="1:18" ht="19.75" x14ac:dyDescent="0.45">
      <c r="A39" s="11" t="s">
        <v>21</v>
      </c>
      <c r="B39" s="12"/>
      <c r="C39" s="12"/>
      <c r="J39" s="7">
        <f>A19</f>
        <v>46204</v>
      </c>
      <c r="K39" s="7">
        <f>B19</f>
        <v>46208</v>
      </c>
      <c r="L39" s="5">
        <f>C19</f>
        <v>4</v>
      </c>
      <c r="M39" s="10">
        <f>D19</f>
        <v>100</v>
      </c>
      <c r="N39" s="34">
        <f>E19</f>
        <v>400</v>
      </c>
      <c r="O39" s="34"/>
      <c r="P39" s="35" t="str">
        <f>P20</f>
        <v>SOGGIORNO</v>
      </c>
      <c r="Q39" s="36"/>
      <c r="R39" s="37"/>
    </row>
    <row r="40" spans="1:18" x14ac:dyDescent="0.4">
      <c r="J40" s="7">
        <f t="shared" ref="J40:J43" si="7">A20</f>
        <v>0</v>
      </c>
      <c r="K40" s="7">
        <f t="shared" ref="K40:K43" si="8">B20</f>
        <v>0</v>
      </c>
      <c r="L40" s="5">
        <f t="shared" ref="L40:L43" si="9">C20</f>
        <v>0</v>
      </c>
      <c r="M40" s="10">
        <f t="shared" ref="M40:M43" si="10">D20</f>
        <v>0</v>
      </c>
      <c r="N40" s="34">
        <f t="shared" ref="N40:N43" si="11">E20</f>
        <v>0</v>
      </c>
      <c r="O40" s="34"/>
      <c r="P40" s="35" t="str">
        <f>P21</f>
        <v>SOGGIORNO</v>
      </c>
      <c r="Q40" s="36"/>
      <c r="R40" s="37"/>
    </row>
    <row r="41" spans="1:18" ht="18.45" x14ac:dyDescent="0.5">
      <c r="A41" s="14" t="s">
        <v>22</v>
      </c>
      <c r="J41" s="7">
        <f t="shared" si="7"/>
        <v>0</v>
      </c>
      <c r="K41" s="7">
        <f t="shared" si="8"/>
        <v>0</v>
      </c>
      <c r="L41" s="5">
        <f t="shared" si="9"/>
        <v>2</v>
      </c>
      <c r="M41" s="10">
        <f t="shared" si="10"/>
        <v>10</v>
      </c>
      <c r="N41" s="34">
        <f t="shared" si="11"/>
        <v>20</v>
      </c>
      <c r="O41" s="34"/>
      <c r="P41" s="35" t="str">
        <f>P22</f>
        <v>TRANSFER</v>
      </c>
      <c r="Q41" s="36"/>
      <c r="R41" s="37"/>
    </row>
    <row r="42" spans="1:18" ht="18.45" x14ac:dyDescent="0.5">
      <c r="A42" s="51" t="s">
        <v>23</v>
      </c>
      <c r="B42" s="51"/>
      <c r="C42" s="51"/>
      <c r="D42" s="51"/>
      <c r="E42" s="51"/>
      <c r="F42" s="51"/>
      <c r="G42" s="51"/>
      <c r="H42" s="51"/>
      <c r="I42" s="51"/>
      <c r="J42" s="7">
        <f t="shared" si="7"/>
        <v>0</v>
      </c>
      <c r="K42" s="7">
        <f t="shared" si="8"/>
        <v>0</v>
      </c>
      <c r="L42" s="5">
        <f t="shared" si="9"/>
        <v>1</v>
      </c>
      <c r="M42" s="10">
        <f t="shared" si="10"/>
        <v>15</v>
      </c>
      <c r="N42" s="34">
        <f t="shared" si="11"/>
        <v>15</v>
      </c>
      <c r="O42" s="34"/>
      <c r="P42" s="35" t="str">
        <f>P23</f>
        <v>FORFAIT SERVIZI</v>
      </c>
      <c r="Q42" s="36"/>
      <c r="R42" s="37"/>
    </row>
    <row r="43" spans="1:18" x14ac:dyDescent="0.4">
      <c r="J43" s="7">
        <f t="shared" si="7"/>
        <v>0</v>
      </c>
      <c r="K43" s="7">
        <f t="shared" si="8"/>
        <v>0</v>
      </c>
      <c r="L43" s="5">
        <f t="shared" si="9"/>
        <v>1</v>
      </c>
      <c r="M43" s="10">
        <f t="shared" si="10"/>
        <v>35</v>
      </c>
      <c r="N43" s="34">
        <f t="shared" si="11"/>
        <v>35</v>
      </c>
      <c r="O43" s="34"/>
      <c r="P43" s="35" t="str">
        <f>P24</f>
        <v>MEZZA PENSIONE</v>
      </c>
      <c r="Q43" s="36"/>
      <c r="R43" s="37"/>
    </row>
    <row r="44" spans="1:18" x14ac:dyDescent="0.4">
      <c r="A44" s="15" t="s">
        <v>24</v>
      </c>
      <c r="B44" s="2"/>
      <c r="C44" s="2"/>
      <c r="D44" s="2"/>
      <c r="E44" s="2"/>
      <c r="F44" s="2"/>
      <c r="G44" s="2"/>
      <c r="H44" s="52">
        <f ca="1">C16+5</f>
        <v>46094</v>
      </c>
      <c r="I44" s="53"/>
      <c r="J44" s="38" t="s">
        <v>11</v>
      </c>
      <c r="K44" s="39"/>
      <c r="L44" s="39"/>
      <c r="M44" s="39"/>
      <c r="N44" s="34">
        <f>E25</f>
        <v>470</v>
      </c>
      <c r="O44" s="34"/>
    </row>
    <row r="45" spans="1:18" x14ac:dyDescent="0.4">
      <c r="N45" s="8"/>
      <c r="O45" s="8"/>
    </row>
    <row r="46" spans="1:18" x14ac:dyDescent="0.4">
      <c r="A46" t="s">
        <v>25</v>
      </c>
      <c r="J46" s="38" t="s">
        <v>12</v>
      </c>
      <c r="K46" s="39"/>
      <c r="L46" s="39"/>
      <c r="M46" s="39"/>
      <c r="N46" s="40">
        <f>E27</f>
        <v>141</v>
      </c>
      <c r="O46" s="41"/>
    </row>
    <row r="47" spans="1:18" x14ac:dyDescent="0.4">
      <c r="J47" t="s">
        <v>13</v>
      </c>
      <c r="N47" s="42">
        <f>E29</f>
        <v>329</v>
      </c>
      <c r="O47" s="42"/>
    </row>
  </sheetData>
  <mergeCells count="88">
    <mergeCell ref="J35:R35"/>
    <mergeCell ref="L30:R30"/>
    <mergeCell ref="J31:R31"/>
    <mergeCell ref="J32:R32"/>
    <mergeCell ref="J33:R33"/>
    <mergeCell ref="J34:R34"/>
    <mergeCell ref="G23:I23"/>
    <mergeCell ref="A34:G34"/>
    <mergeCell ref="E23:F23"/>
    <mergeCell ref="A42:I42"/>
    <mergeCell ref="H44:I44"/>
    <mergeCell ref="H34:I34"/>
    <mergeCell ref="E24:F24"/>
    <mergeCell ref="E25:F25"/>
    <mergeCell ref="E27:F27"/>
    <mergeCell ref="E29:F29"/>
    <mergeCell ref="F17:G17"/>
    <mergeCell ref="G18:I18"/>
    <mergeCell ref="A18:B18"/>
    <mergeCell ref="A6:I6"/>
    <mergeCell ref="A7:I7"/>
    <mergeCell ref="A8:I8"/>
    <mergeCell ref="A9:I9"/>
    <mergeCell ref="C16:D16"/>
    <mergeCell ref="E16:I16"/>
    <mergeCell ref="E18:F18"/>
    <mergeCell ref="E19:F19"/>
    <mergeCell ref="E20:F20"/>
    <mergeCell ref="E21:F21"/>
    <mergeCell ref="E22:F22"/>
    <mergeCell ref="G19:I19"/>
    <mergeCell ref="G20:I20"/>
    <mergeCell ref="G21:I21"/>
    <mergeCell ref="G22:I22"/>
    <mergeCell ref="M11:N11"/>
    <mergeCell ref="J6:R6"/>
    <mergeCell ref="J7:R7"/>
    <mergeCell ref="J8:R8"/>
    <mergeCell ref="J9:R9"/>
    <mergeCell ref="O11:R11"/>
    <mergeCell ref="O12:P12"/>
    <mergeCell ref="O13:P13"/>
    <mergeCell ref="O14:P14"/>
    <mergeCell ref="O15:P15"/>
    <mergeCell ref="Q12:R12"/>
    <mergeCell ref="Q13:R13"/>
    <mergeCell ref="Q14:R14"/>
    <mergeCell ref="Q15:R15"/>
    <mergeCell ref="L17:M17"/>
    <mergeCell ref="N17:R17"/>
    <mergeCell ref="O18:P18"/>
    <mergeCell ref="J19:K19"/>
    <mergeCell ref="N19:O19"/>
    <mergeCell ref="P19:R19"/>
    <mergeCell ref="P20:R20"/>
    <mergeCell ref="N21:O21"/>
    <mergeCell ref="P21:R21"/>
    <mergeCell ref="N22:O22"/>
    <mergeCell ref="P22:R22"/>
    <mergeCell ref="P42:R42"/>
    <mergeCell ref="N43:O43"/>
    <mergeCell ref="P43:R43"/>
    <mergeCell ref="N44:O44"/>
    <mergeCell ref="N40:O40"/>
    <mergeCell ref="P40:R40"/>
    <mergeCell ref="N41:O41"/>
    <mergeCell ref="P41:R41"/>
    <mergeCell ref="J44:M44"/>
    <mergeCell ref="N47:O47"/>
    <mergeCell ref="J46:M46"/>
    <mergeCell ref="N46:O46"/>
    <mergeCell ref="N42:O42"/>
    <mergeCell ref="Q1:R2"/>
    <mergeCell ref="J38:K38"/>
    <mergeCell ref="N38:O38"/>
    <mergeCell ref="P38:R38"/>
    <mergeCell ref="N39:O39"/>
    <mergeCell ref="P39:R39"/>
    <mergeCell ref="J25:M25"/>
    <mergeCell ref="N25:O25"/>
    <mergeCell ref="J27:M27"/>
    <mergeCell ref="N27:O27"/>
    <mergeCell ref="N28:O28"/>
    <mergeCell ref="N23:O23"/>
    <mergeCell ref="P23:R23"/>
    <mergeCell ref="N24:O24"/>
    <mergeCell ref="P24:R24"/>
    <mergeCell ref="N20:O2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Tiberio Gibilisco</dc:creator>
  <cp:lastModifiedBy>Tiberio Gibilisco</cp:lastModifiedBy>
  <cp:lastPrinted>2026-01-08T16:13:02Z</cp:lastPrinted>
  <dcterms:created xsi:type="dcterms:W3CDTF">2025-07-22T08:26:29Z</dcterms:created>
  <dcterms:modified xsi:type="dcterms:W3CDTF">2026-03-08T09:43:39Z</dcterms:modified>
</cp:coreProperties>
</file>